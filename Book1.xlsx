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Analytics\New folder\"/>
    </mc:Choice>
  </mc:AlternateContent>
  <xr:revisionPtr revIDLastSave="0" documentId="8_{697F1AA1-79C5-44D6-B6CD-D433C91C7B23}" xr6:coauthVersionLast="47" xr6:coauthVersionMax="47" xr10:uidLastSave="{00000000-0000-0000-0000-000000000000}"/>
  <bookViews>
    <workbookView xWindow="-108" yWindow="-108" windowWidth="23256" windowHeight="12456" xr2:uid="{C4DA58DD-B82F-456E-B051-3B610EB80C0C}"/>
  </bookViews>
  <sheets>
    <sheet name="Sales_Data" sheetId="1" r:id="rId1"/>
    <sheet name="Product_Master" sheetId="2" r:id="rId2"/>
    <sheet name="Targets" sheetId="3" r:id="rId3"/>
    <sheet name="Regional_Comparis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B3" i="4"/>
  <c r="B4" i="4"/>
  <c r="D4" i="4" s="1"/>
  <c r="B5" i="4"/>
  <c r="D5" i="4" s="1"/>
  <c r="B2" i="4"/>
  <c r="K2" i="1"/>
  <c r="J2" i="1"/>
  <c r="A14" i="1"/>
  <c r="I2" i="1"/>
  <c r="I7" i="1"/>
  <c r="J7" i="1" s="1"/>
  <c r="J3" i="1"/>
  <c r="J4" i="1"/>
  <c r="J5" i="1"/>
  <c r="J6" i="1"/>
  <c r="J8" i="1"/>
  <c r="J9" i="1"/>
  <c r="J10" i="1"/>
  <c r="J11" i="1"/>
  <c r="I10" i="1"/>
  <c r="I3" i="1"/>
  <c r="I4" i="1"/>
  <c r="I5" i="1"/>
  <c r="I6" i="1"/>
  <c r="I8" i="1"/>
  <c r="I9" i="1"/>
  <c r="I11" i="1"/>
  <c r="H3" i="1"/>
  <c r="H4" i="1"/>
  <c r="H5" i="1"/>
  <c r="H6" i="1"/>
  <c r="H7" i="1"/>
  <c r="H8" i="1"/>
  <c r="H9" i="1"/>
  <c r="H10" i="1"/>
  <c r="H11" i="1"/>
  <c r="H2" i="1"/>
  <c r="D2" i="4" l="1"/>
  <c r="D3" i="4"/>
</calcChain>
</file>

<file path=xl/sharedStrings.xml><?xml version="1.0" encoding="utf-8"?>
<sst xmlns="http://schemas.openxmlformats.org/spreadsheetml/2006/main" count="83" uniqueCount="50">
  <si>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</si>
  <si>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</si>
  <si>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</si>
  <si>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</si>
  <si>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</si>
  <si>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</si>
  <si>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</si>
  <si>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</si>
  <si>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</si>
  <si>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</si>
  <si>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</si>
  <si>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</si>
  <si>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</si>
  <si>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</si>
  <si>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</si>
  <si>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</si>
  <si>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</si>
  <si>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</si>
  <si>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</si>
  <si>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</si>
  <si>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</si>
  <si>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</si>
  <si>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</si>
  <si>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</si>
  <si>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</si>
  <si>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</si>
  <si>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</si>
  <si>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</si>
  <si>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</si>
  <si>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</si>
  <si>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</si>
  <si>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</si>
  <si>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</si>
  <si>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</si>
  <si>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</si>
  <si>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</si>
  <si>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Price per Unit</t>
  </si>
  <si>
    <t>Category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</si>
  <si>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</si>
  <si>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</si>
  <si>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</si>
  <si>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</si>
  <si>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</si>
  <si>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</si>
  <si>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</si>
  <si>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</si>
  <si>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</si>
  <si>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Total Sales Value</t>
  </si>
  <si>
    <t>Total Revenue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</si>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</sst>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0" fillId="0" borderId="2" xfId="0" applyBorder="1"/>
    <xf numFmtId="0" fontId="0" fillId="0" borderId="0" xfId="0" applyAlignment="1">
      <alignment horizontal="center" wrapText="1"/>
    </xf>
    <xf numFmtId="0" fontId="1" fillId="0" borderId="2" xfId="0" applyFont="1" applyBorder="1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DA4D-B536-4631-ABD0-C68C749BA0F8}">
  <dimension ref="A1:M14"/>
  <sheetViews>
    <sheetView tabSelected="1" workbookViewId="0">
      <selection activeCell="M6" sqref="M6"/>
    </sheetView>
  </sheetViews>
  <sheetFormatPr defaultRowHeight="14.4" x14ac:dyDescent="0.3"/>
  <cols>
    <col min="3" max="3" width="8.44140625" bestFit="1" customWidth="1"/>
    <col min="4" max="4" width="15.77734375" customWidth="1"/>
    <col min="6" max="6" width="7.77734375" bestFit="1" customWidth="1"/>
    <col min="8" max="8" width="12.6640625" bestFit="1" customWidth="1"/>
    <col min="9" max="9" width="16.77734375" customWidth="1"/>
    <col min="10" max="10" width="14.88671875" bestFit="1" customWidth="1"/>
    <col min="11" max="11" width="12.6640625" bestFit="1" customWidth="1"/>
    <col min="12" max="12" width="6.5546875" bestFit="1" customWidth="1"/>
    <col min="13" max="13" width="10.6640625" bestFit="1" customWidth="1"/>
    <col min="14" max="14" width="10.77734375" bestFit="1" customWidth="1"/>
  </cols>
  <sheetData>
    <row r="1" spans="1:13" ht="2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9" t="s">
        <v>35</v>
      </c>
      <c r="I1" s="4" t="s">
        <v>36</v>
      </c>
      <c r="J1" s="9" t="s">
        <v>47</v>
      </c>
      <c r="K1" s="9" t="s">
        <v>48</v>
      </c>
    </row>
    <row r="2" spans="1:13" ht="27" x14ac:dyDescent="0.3">
      <c r="A2" s="5" t="s">
        <v>6</v>
      </c>
      <c r="B2" s="5" t="s">
        <v>7</v>
      </c>
      <c r="C2" s="5" t="s">
        <v>8</v>
      </c>
      <c r="D2" s="5" t="s">
        <v>9</v>
      </c>
      <c r="E2" s="6">
        <v>15</v>
      </c>
      <c r="F2" s="6">
        <v>45000</v>
      </c>
      <c r="H2" s="7" t="str">
        <f>VLOOKUP(D2, Product_Master!$A$2:$D$6, 2, FALSE)</f>
        <v>Laptop</v>
      </c>
      <c r="I2" s="7">
        <f>VLOOKUP(D2,Product_Master!$A$1:$D$6,4,FALSE)</f>
        <v>3000</v>
      </c>
      <c r="J2" s="7">
        <f>I2*E2</f>
        <v>45000</v>
      </c>
      <c r="K2" s="7">
        <f>SUM(J2:J11)</f>
        <v>636000</v>
      </c>
    </row>
    <row r="3" spans="1:13" ht="27" x14ac:dyDescent="0.3">
      <c r="A3" s="5" t="s">
        <v>10</v>
      </c>
      <c r="B3" s="5" t="s">
        <v>11</v>
      </c>
      <c r="C3" s="5" t="s">
        <v>12</v>
      </c>
      <c r="D3" s="5" t="s">
        <v>13</v>
      </c>
      <c r="E3" s="6">
        <v>20</v>
      </c>
      <c r="F3" s="6">
        <v>60000</v>
      </c>
      <c r="H3" s="7" t="str">
        <f>VLOOKUP(D3, Product_Master!$A$2:$D$6, 2, FALSE)</f>
        <v>Smartphone</v>
      </c>
      <c r="I3" s="7">
        <f>VLOOKUP(D3,Product_Master!$A$1:$D$6,4,FALSE)</f>
        <v>3000</v>
      </c>
      <c r="J3" s="7">
        <f t="shared" ref="J3:J11" si="0">I3*E3</f>
        <v>60000</v>
      </c>
    </row>
    <row r="4" spans="1:13" ht="27" x14ac:dyDescent="0.3">
      <c r="A4" s="5" t="s">
        <v>14</v>
      </c>
      <c r="B4" s="5" t="s">
        <v>15</v>
      </c>
      <c r="C4" s="5" t="s">
        <v>16</v>
      </c>
      <c r="D4" s="5" t="s">
        <v>17</v>
      </c>
      <c r="E4" s="6">
        <v>10</v>
      </c>
      <c r="F4" s="6">
        <v>35000</v>
      </c>
      <c r="H4" s="7" t="str">
        <f>VLOOKUP(D4, Product_Master!$A$2:$D$6, 2, FALSE)</f>
        <v>Headphones</v>
      </c>
      <c r="I4" s="7">
        <f>VLOOKUP(D4,Product_Master!$A$1:$D$6,4,FALSE)</f>
        <v>3500</v>
      </c>
      <c r="J4" s="7">
        <f t="shared" si="0"/>
        <v>35000</v>
      </c>
    </row>
    <row r="5" spans="1:13" ht="27" x14ac:dyDescent="0.3">
      <c r="A5" s="5" t="s">
        <v>18</v>
      </c>
      <c r="B5" s="5" t="s">
        <v>19</v>
      </c>
      <c r="C5" s="5" t="s">
        <v>20</v>
      </c>
      <c r="D5" s="5" t="s">
        <v>21</v>
      </c>
      <c r="E5" s="6">
        <v>25</v>
      </c>
      <c r="F5" s="6">
        <v>125000</v>
      </c>
      <c r="H5" s="7" t="str">
        <f>VLOOKUP(D5, Product_Master!$A$2:$D$6, 2, FALSE)</f>
        <v>Printer</v>
      </c>
      <c r="I5" s="7">
        <f>VLOOKUP(D5,Product_Master!$A$1:$D$6,4,FALSE)</f>
        <v>5000</v>
      </c>
      <c r="J5" s="7">
        <f t="shared" si="0"/>
        <v>125000</v>
      </c>
    </row>
    <row r="6" spans="1:13" ht="27" x14ac:dyDescent="0.3">
      <c r="A6" s="5" t="s">
        <v>22</v>
      </c>
      <c r="B6" s="5" t="s">
        <v>23</v>
      </c>
      <c r="C6" s="5" t="s">
        <v>8</v>
      </c>
      <c r="D6" s="5" t="s">
        <v>24</v>
      </c>
      <c r="E6" s="6">
        <v>12</v>
      </c>
      <c r="F6" s="6">
        <v>48000</v>
      </c>
      <c r="H6" s="7" t="str">
        <f>VLOOKUP(D6, Product_Master!$A$2:$D$6, 2, FALSE)</f>
        <v>Monitor</v>
      </c>
      <c r="I6" s="7">
        <f>VLOOKUP(D6,Product_Master!$A$1:$D$6,4,FALSE)</f>
        <v>4000</v>
      </c>
      <c r="J6" s="7">
        <f t="shared" si="0"/>
        <v>48000</v>
      </c>
    </row>
    <row r="7" spans="1:13" ht="27" x14ac:dyDescent="0.3">
      <c r="A7" s="5" t="s">
        <v>25</v>
      </c>
      <c r="B7" s="5" t="s">
        <v>26</v>
      </c>
      <c r="C7" s="5" t="s">
        <v>16</v>
      </c>
      <c r="D7" s="5" t="s">
        <v>13</v>
      </c>
      <c r="E7" s="6">
        <v>18</v>
      </c>
      <c r="F7" s="6">
        <v>54000</v>
      </c>
      <c r="H7" s="7" t="str">
        <f>VLOOKUP(D7, Product_Master!$A$2:$D$6, 2, FALSE)</f>
        <v>Smartphone</v>
      </c>
      <c r="I7" s="7">
        <f>VLOOKUP(D7,Product_Master!$A$1:$D$6,4,FALSE)</f>
        <v>3000</v>
      </c>
      <c r="J7" s="7">
        <f t="shared" si="0"/>
        <v>54000</v>
      </c>
    </row>
    <row r="8" spans="1:13" ht="27" x14ac:dyDescent="0.3">
      <c r="A8" s="5" t="s">
        <v>27</v>
      </c>
      <c r="B8" s="5" t="s">
        <v>28</v>
      </c>
      <c r="C8" s="5" t="s">
        <v>12</v>
      </c>
      <c r="D8" s="5" t="s">
        <v>17</v>
      </c>
      <c r="E8" s="6">
        <v>22</v>
      </c>
      <c r="F8" s="6">
        <v>77000</v>
      </c>
      <c r="H8" s="7" t="str">
        <f>VLOOKUP(D8, Product_Master!$A$2:$D$6, 2, FALSE)</f>
        <v>Headphones</v>
      </c>
      <c r="I8" s="7">
        <f>VLOOKUP(D8,Product_Master!$A$1:$D$6,4,FALSE)</f>
        <v>3500</v>
      </c>
      <c r="J8" s="7">
        <f t="shared" si="0"/>
        <v>77000</v>
      </c>
    </row>
    <row r="9" spans="1:13" ht="27" x14ac:dyDescent="0.3">
      <c r="A9" s="5" t="s">
        <v>29</v>
      </c>
      <c r="B9" s="5" t="s">
        <v>30</v>
      </c>
      <c r="C9" s="5" t="s">
        <v>20</v>
      </c>
      <c r="D9" s="5" t="s">
        <v>9</v>
      </c>
      <c r="E9" s="6">
        <v>30</v>
      </c>
      <c r="F9" s="6">
        <v>90000</v>
      </c>
      <c r="H9" s="7" t="str">
        <f>VLOOKUP(D9, Product_Master!$A$2:$D$6, 2, FALSE)</f>
        <v>Laptop</v>
      </c>
      <c r="I9" s="7">
        <f>VLOOKUP(D9,Product_Master!$A$1:$D$6,4,FALSE)</f>
        <v>3000</v>
      </c>
      <c r="J9" s="7">
        <f t="shared" si="0"/>
        <v>90000</v>
      </c>
      <c r="M9" s="8"/>
    </row>
    <row r="10" spans="1:13" ht="21.6" customHeight="1" x14ac:dyDescent="0.3">
      <c r="A10" s="5" t="s">
        <v>31</v>
      </c>
      <c r="B10" s="5" t="s">
        <v>32</v>
      </c>
      <c r="C10" s="5" t="s">
        <v>8</v>
      </c>
      <c r="D10" s="5" t="s">
        <v>21</v>
      </c>
      <c r="E10" s="6">
        <v>14</v>
      </c>
      <c r="F10" s="6">
        <v>70000</v>
      </c>
      <c r="H10" s="7" t="str">
        <f>VLOOKUP(D10, Product_Master!$A$2:$D$6, 2, FALSE)</f>
        <v>Printer</v>
      </c>
      <c r="I10" s="7">
        <f>VLOOKUP(D10,Product_Master!$A$1:$D$6,4,FALSE)</f>
        <v>5000</v>
      </c>
      <c r="J10" s="7">
        <f t="shared" si="0"/>
        <v>70000</v>
      </c>
    </row>
    <row r="11" spans="1:13" ht="27" x14ac:dyDescent="0.3">
      <c r="A11" s="5" t="s">
        <v>33</v>
      </c>
      <c r="B11" s="5" t="s">
        <v>34</v>
      </c>
      <c r="C11" s="5" t="s">
        <v>16</v>
      </c>
      <c r="D11" s="5" t="s">
        <v>24</v>
      </c>
      <c r="E11" s="6">
        <v>8</v>
      </c>
      <c r="F11" s="6">
        <v>32000</v>
      </c>
      <c r="H11" s="7" t="str">
        <f>VLOOKUP(D11, Product_Master!$A$2:$D$6, 2, FALSE)</f>
        <v>Monitor</v>
      </c>
      <c r="I11" s="7">
        <f>VLOOKUP(D11,Product_Master!$A$1:$D$6,4,FALSE)</f>
        <v>4000</v>
      </c>
      <c r="J11" s="7">
        <f t="shared" si="0"/>
        <v>32000</v>
      </c>
    </row>
    <row r="14" spans="1:13" x14ac:dyDescent="0.3">
      <c r="A14" t="e">
        <f>HLOOKUP(A2,Targets!A1:E2,2,FALSE)</f>
        <v>#N/A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0BB7-13B3-4208-8545-98ED2B2FF55B}">
  <dimension ref="A1:D6"/>
  <sheetViews>
    <sheetView workbookViewId="0">
      <selection activeCell="E16" sqref="E16"/>
    </sheetView>
  </sheetViews>
  <sheetFormatPr defaultRowHeight="14.4" x14ac:dyDescent="0.3"/>
  <cols>
    <col min="1" max="1" width="8" bestFit="1" customWidth="1"/>
    <col min="2" max="2" width="16.109375" customWidth="1"/>
    <col min="3" max="3" width="10.88671875" customWidth="1"/>
  </cols>
  <sheetData>
    <row r="1" spans="1:4" ht="27.6" thickBot="1" x14ac:dyDescent="0.35">
      <c r="A1" s="1" t="s">
        <v>3</v>
      </c>
      <c r="B1" s="1" t="s">
        <v>35</v>
      </c>
      <c r="C1" s="1" t="s">
        <v>37</v>
      </c>
      <c r="D1" s="1" t="s">
        <v>36</v>
      </c>
    </row>
    <row r="2" spans="1:4" ht="27.6" thickBot="1" x14ac:dyDescent="0.35">
      <c r="A2" s="2" t="s">
        <v>9</v>
      </c>
      <c r="B2" s="2" t="s">
        <v>38</v>
      </c>
      <c r="C2" s="2" t="s">
        <v>39</v>
      </c>
      <c r="D2" s="3">
        <v>3000</v>
      </c>
    </row>
    <row r="3" spans="1:4" ht="27.6" thickBot="1" x14ac:dyDescent="0.35">
      <c r="A3" s="2" t="s">
        <v>13</v>
      </c>
      <c r="B3" s="2" t="s">
        <v>40</v>
      </c>
      <c r="C3" s="2" t="s">
        <v>39</v>
      </c>
      <c r="D3" s="3">
        <v>3000</v>
      </c>
    </row>
    <row r="4" spans="1:4" ht="27.6" thickBot="1" x14ac:dyDescent="0.35">
      <c r="A4" s="2" t="s">
        <v>17</v>
      </c>
      <c r="B4" s="2" t="s">
        <v>41</v>
      </c>
      <c r="C4" s="2" t="s">
        <v>42</v>
      </c>
      <c r="D4" s="3">
        <v>3500</v>
      </c>
    </row>
    <row r="5" spans="1:4" ht="27.6" thickBot="1" x14ac:dyDescent="0.35">
      <c r="A5" s="2" t="s">
        <v>21</v>
      </c>
      <c r="B5" s="2" t="s">
        <v>43</v>
      </c>
      <c r="C5" s="2" t="s">
        <v>44</v>
      </c>
      <c r="D5" s="3">
        <v>5000</v>
      </c>
    </row>
    <row r="6" spans="1:4" ht="27.6" thickBot="1" x14ac:dyDescent="0.35">
      <c r="A6" s="2" t="s">
        <v>24</v>
      </c>
      <c r="B6" s="2" t="s">
        <v>45</v>
      </c>
      <c r="C6" s="2" t="s">
        <v>39</v>
      </c>
      <c r="D6" s="3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BA0C-683F-462E-92BD-1EE0B8EE7BE2}">
  <dimension ref="A1:E2"/>
  <sheetViews>
    <sheetView workbookViewId="0">
      <selection activeCell="F22" sqref="F22"/>
    </sheetView>
  </sheetViews>
  <sheetFormatPr defaultRowHeight="14.4" x14ac:dyDescent="0.3"/>
  <cols>
    <col min="1" max="1" width="10.88671875" customWidth="1"/>
  </cols>
  <sheetData>
    <row r="1" spans="1:5" ht="15" thickBot="1" x14ac:dyDescent="0.3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5" ht="27.6" thickBot="1" x14ac:dyDescent="0.35">
      <c r="A2" s="2" t="s">
        <v>46</v>
      </c>
      <c r="B2" s="3">
        <v>150000</v>
      </c>
      <c r="C2" s="3">
        <v>140000</v>
      </c>
      <c r="D2" s="3">
        <v>120000</v>
      </c>
      <c r="E2" s="3">
        <v>160000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094D-3AEC-4E04-92F2-AE89D1E98674}">
  <dimension ref="A1:D5"/>
  <sheetViews>
    <sheetView workbookViewId="0">
      <selection activeCell="C3" sqref="C3"/>
    </sheetView>
  </sheetViews>
  <sheetFormatPr defaultRowHeight="14.4" x14ac:dyDescent="0.3"/>
  <cols>
    <col min="2" max="2" width="15.21875" bestFit="1" customWidth="1"/>
    <col min="3" max="3" width="11" bestFit="1" customWidth="1"/>
    <col min="4" max="4" width="15" bestFit="1" customWidth="1"/>
  </cols>
  <sheetData>
    <row r="1" spans="1:4" x14ac:dyDescent="0.3">
      <c r="A1" s="9" t="s">
        <v>2</v>
      </c>
      <c r="B1" s="9" t="s">
        <v>47</v>
      </c>
      <c r="C1" s="9" t="s">
        <v>46</v>
      </c>
      <c r="D1" s="9" t="s">
        <v>49</v>
      </c>
    </row>
    <row r="2" spans="1:4" x14ac:dyDescent="0.3">
      <c r="A2" s="7" t="s">
        <v>8</v>
      </c>
      <c r="B2" s="7">
        <f>SUMIF(Sales_Data!C:C,Sales_Data!C2,Sales_Data!F:F)</f>
        <v>163000</v>
      </c>
      <c r="C2" s="7">
        <f>HLOOKUP(A2,Targets!$A$1:$E$2,2,FALSE)</f>
        <v>150000</v>
      </c>
      <c r="D2" s="7" t="str">
        <f>IF(B2&lt;C2, "Below Target", "On/Above Target")</f>
        <v>On/Above Target</v>
      </c>
    </row>
    <row r="3" spans="1:4" x14ac:dyDescent="0.3">
      <c r="A3" s="7" t="s">
        <v>12</v>
      </c>
      <c r="B3" s="7">
        <f>SUMIF(Sales_Data!C:C,Sales_Data!C3,Sales_Data!F:F)</f>
        <v>137000</v>
      </c>
      <c r="C3" s="7">
        <f>HLOOKUP(A3,Targets!$A$1:$E$2,2,FALSE)</f>
        <v>140000</v>
      </c>
      <c r="D3" s="7" t="str">
        <f>IF(B3&lt;C3, "Below Target", "On/Above Target")</f>
        <v>Below Target</v>
      </c>
    </row>
    <row r="4" spans="1:4" x14ac:dyDescent="0.3">
      <c r="A4" s="7" t="s">
        <v>16</v>
      </c>
      <c r="B4" s="7">
        <f>SUMIF(Sales_Data!C:C,Sales_Data!C4,Sales_Data!F:F)</f>
        <v>121000</v>
      </c>
      <c r="C4" s="7">
        <f>HLOOKUP(A4,Targets!$A$1:$E$2,2,FALSE)</f>
        <v>120000</v>
      </c>
      <c r="D4" s="7" t="str">
        <f>IF(B4&lt;C4, "Below Target", "On/Above Target")</f>
        <v>On/Above Target</v>
      </c>
    </row>
    <row r="5" spans="1:4" x14ac:dyDescent="0.3">
      <c r="A5" s="7" t="s">
        <v>20</v>
      </c>
      <c r="B5" s="7">
        <f>SUMIF(Sales_Data!C:C,Sales_Data!C5,Sales_Data!F:F)</f>
        <v>215000</v>
      </c>
      <c r="C5" s="7">
        <f>HLOOKUP(A5,Targets!$A$1:$E$2,2,FALSE)</f>
        <v>160000</v>
      </c>
      <c r="D5" s="7" t="str">
        <f>IF(B5&lt;C5, "Below Target", "On/Above Target")</f>
        <v>On/Above Target</v>
      </c>
    </row>
  </sheetData>
  <conditionalFormatting sqref="B2:B5">
    <cfRule type="cellIs" dxfId="0" priority="1" stopIfTrue="1" operator="lessThan">
      <formula>C2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Product_Master</vt:lpstr>
      <vt:lpstr>Targets</vt:lpstr>
      <vt:lpstr>Regional_Comparison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reddy</dc:creator>
  <cp:lastModifiedBy>sai reddy</cp:lastModifiedBy>
  <dcterms:created xsi:type="dcterms:W3CDTF">2025-11-01T06:28:34Z</dcterms:created>
  <dcterms:modified xsi:type="dcterms:W3CDTF">2025-11-01T12:37:48Z</dcterms:modified>
</cp:coreProperties>
</file>